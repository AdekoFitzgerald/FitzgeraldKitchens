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630"/>
  </bookViews>
  <sheets>
    <sheet name="Tum Malzemeler Listesi" sheetId="1" r:id="rId1"/>
    <sheet name="Malzeme 1" sheetId="9" r:id="rId2"/>
    <sheet name="Malzeme 2" sheetId="10" r:id="rId3"/>
    <sheet name="Malzeme 3" sheetId="11" r:id="rId4"/>
    <sheet name="Malzeme 4" sheetId="12" r:id="rId5"/>
    <sheet name="Malzeme 5" sheetId="13" r:id="rId6"/>
    <sheet name="Malzeme 6" sheetId="14" r:id="rId7"/>
    <sheet name="Malzeme 7" sheetId="15" r:id="rId8"/>
  </sheets>
  <definedNames>
    <definedName name="_FilterDatabase_0" localSheetId="1">'Malzeme 1'!$B$11:$M$11</definedName>
    <definedName name="_FilterDatabase_0" localSheetId="2">'Malzeme 2'!$B$11:$M$11</definedName>
    <definedName name="_FilterDatabase_0" localSheetId="3">'Malzeme 3'!$B$11:$M$11</definedName>
    <definedName name="_FilterDatabase_0" localSheetId="4">'Malzeme 4'!$B$11:$M$11</definedName>
    <definedName name="_FilterDatabase_0" localSheetId="5">'Malzeme 5'!$B$11:$M$11</definedName>
    <definedName name="_FilterDatabase_0" localSheetId="6">'Malzeme 6'!$B$11:$M$11</definedName>
    <definedName name="_FilterDatabase_0" localSheetId="7">'Malzeme 7'!$B$11:$M$11</definedName>
    <definedName name="_FilterDatabase_0" localSheetId="0">'Tum Malzemeler Listesi'!$B$11:$M$11</definedName>
    <definedName name="_FilterDatabase_0_0" localSheetId="1">'Malzeme 1'!$B$11:$M$11</definedName>
    <definedName name="_FilterDatabase_0_0" localSheetId="2">'Malzeme 2'!$B$11:$M$11</definedName>
    <definedName name="_FilterDatabase_0_0" localSheetId="3">'Malzeme 3'!$B$11:$M$11</definedName>
    <definedName name="_FilterDatabase_0_0" localSheetId="4">'Malzeme 4'!$B$11:$M$11</definedName>
    <definedName name="_FilterDatabase_0_0" localSheetId="5">'Malzeme 5'!$B$11:$M$11</definedName>
    <definedName name="_FilterDatabase_0_0" localSheetId="6">'Malzeme 6'!$B$11:$M$11</definedName>
    <definedName name="_FilterDatabase_0_0" localSheetId="7">'Malzeme 7'!$B$11:$M$11</definedName>
    <definedName name="_FilterDatabase_0_0" localSheetId="0">'Tum Malzemeler Listesi'!$B$11:$M$11</definedName>
    <definedName name="_xlnm._FilterDatabase" localSheetId="1">'Malzeme 1'!$B$11:$M$11</definedName>
    <definedName name="_xlnm._FilterDatabase" localSheetId="2">'Malzeme 2'!$B$11:$M$11</definedName>
    <definedName name="_xlnm._FilterDatabase" localSheetId="3">'Malzeme 3'!$B$11:$M$11</definedName>
    <definedName name="_xlnm._FilterDatabase" localSheetId="4">'Malzeme 4'!$B$11:$M$11</definedName>
    <definedName name="_xlnm._FilterDatabase" localSheetId="5">'Malzeme 5'!$B$11:$M$11</definedName>
    <definedName name="_xlnm._FilterDatabase" localSheetId="6">'Malzeme 6'!$B$11:$M$11</definedName>
    <definedName name="_xlnm._FilterDatabase" localSheetId="7">'Malzeme 7'!$B$11:$M$11</definedName>
    <definedName name="_xlnm._FilterDatabase" localSheetId="0">'Tum Malzemeler Listesi'!$B$11:$M$11</definedName>
    <definedName name="Print_Titles_0" localSheetId="1">'Malzeme 1'!$A$10:$AKS$11</definedName>
    <definedName name="Print_Titles_0" localSheetId="2">'Malzeme 2'!$A$10:$AKS$11</definedName>
    <definedName name="Print_Titles_0" localSheetId="3">'Malzeme 3'!$A$10:$AKS$11</definedName>
    <definedName name="Print_Titles_0" localSheetId="4">'Malzeme 4'!$A$10:$AKS$11</definedName>
    <definedName name="Print_Titles_0" localSheetId="5">'Malzeme 5'!$A$10:$AKS$11</definedName>
    <definedName name="Print_Titles_0" localSheetId="6">'Malzeme 6'!$A$10:$AKS$11</definedName>
    <definedName name="Print_Titles_0" localSheetId="7">'Malzeme 7'!$A$10:$AKS$11</definedName>
    <definedName name="Print_Titles_0" localSheetId="0">'Tum Malzemeler Listesi'!$A$10:$AKS$11</definedName>
    <definedName name="Print_Titles_0_0" localSheetId="1">'Malzeme 1'!$A$10:$AKS$11</definedName>
    <definedName name="Print_Titles_0_0" localSheetId="2">'Malzeme 2'!$A$10:$AKS$11</definedName>
    <definedName name="Print_Titles_0_0" localSheetId="3">'Malzeme 3'!$A$10:$AKS$11</definedName>
    <definedName name="Print_Titles_0_0" localSheetId="4">'Malzeme 4'!$A$10:$AKS$11</definedName>
    <definedName name="Print_Titles_0_0" localSheetId="5">'Malzeme 5'!$A$10:$AKS$11</definedName>
    <definedName name="Print_Titles_0_0" localSheetId="6">'Malzeme 6'!$A$10:$AKS$11</definedName>
    <definedName name="Print_Titles_0_0" localSheetId="7">'Malzeme 7'!$A$10:$AKS$11</definedName>
    <definedName name="Print_Titles_0_0" localSheetId="0">'Tum Malzemeler Listesi'!$A$10:$AKS$11</definedName>
    <definedName name="_xlnm.Print_Titles" localSheetId="1">'Malzeme 1'!$10:$11</definedName>
    <definedName name="_xlnm.Print_Titles" localSheetId="2">'Malzeme 2'!$10:$11</definedName>
    <definedName name="_xlnm.Print_Titles" localSheetId="3">'Malzeme 3'!$10:$11</definedName>
    <definedName name="_xlnm.Print_Titles" localSheetId="4">'Malzeme 4'!$10:$11</definedName>
    <definedName name="_xlnm.Print_Titles" localSheetId="5">'Malzeme 5'!$10:$11</definedName>
    <definedName name="_xlnm.Print_Titles" localSheetId="6">'Malzeme 6'!$10:$11</definedName>
    <definedName name="_xlnm.Print_Titles" localSheetId="7">'Malzeme 7'!$10:$11</definedName>
    <definedName name="_xlnm.Print_Titles" localSheetId="0">'Tum Malzemeler Listesi'!$10:$11</definedName>
  </definedNames>
  <calcPr calcId="145621" iterateDelta="1E-4"/>
</workbook>
</file>

<file path=xl/calcChain.xml><?xml version="1.0" encoding="utf-8"?>
<calcChain xmlns="http://schemas.openxmlformats.org/spreadsheetml/2006/main">
  <c r="I7" i="15" l="1"/>
  <c r="I9" i="15" s="1"/>
  <c r="I7" i="14"/>
  <c r="I9" i="14" s="1"/>
  <c r="I7" i="13"/>
  <c r="I9" i="13" s="1"/>
  <c r="I7" i="12"/>
  <c r="I9" i="12" s="1"/>
  <c r="I7" i="11"/>
  <c r="I9" i="11" s="1"/>
  <c r="I7" i="10"/>
  <c r="I9" i="10" s="1"/>
  <c r="I7" i="9"/>
  <c r="I9" i="9" s="1"/>
  <c r="I7" i="1"/>
  <c r="I8" i="1" l="1"/>
  <c r="I9" i="1"/>
  <c r="I8" i="15"/>
  <c r="I8" i="14"/>
  <c r="I8" i="13"/>
  <c r="I8" i="12"/>
  <c r="I8" i="11"/>
  <c r="I8" i="10"/>
  <c r="I8" i="9"/>
</calcChain>
</file>

<file path=xl/sharedStrings.xml><?xml version="1.0" encoding="utf-8"?>
<sst xmlns="http://schemas.openxmlformats.org/spreadsheetml/2006/main" count="344" uniqueCount="126">
  <si>
    <t>Müşteri</t>
  </si>
  <si>
    <t>Adres</t>
  </si>
  <si>
    <t>İlçe</t>
  </si>
  <si>
    <t>İl</t>
  </si>
  <si>
    <t>Telefon</t>
  </si>
  <si>
    <t>Mail</t>
  </si>
  <si>
    <t>Malzeme</t>
  </si>
  <si>
    <t>Kod</t>
  </si>
  <si>
    <t>Ad.</t>
  </si>
  <si>
    <t>Boy</t>
  </si>
  <si>
    <t>En</t>
  </si>
  <si>
    <t>Kenar Bantları</t>
  </si>
  <si>
    <t>Kanal</t>
  </si>
  <si>
    <t>Su Yönü</t>
  </si>
  <si>
    <t>Üst</t>
  </si>
  <si>
    <t>Sağ</t>
  </si>
  <si>
    <t>Alt</t>
  </si>
  <si>
    <t>Sol</t>
  </si>
  <si>
    <t>__MATERIAL</t>
  </si>
  <si>
    <t>__ITEM_CODE</t>
  </si>
  <si>
    <t>__QUANTITY</t>
  </si>
  <si>
    <t>__W</t>
  </si>
  <si>
    <t>__H</t>
  </si>
  <si>
    <t>__EDGETOP</t>
  </si>
  <si>
    <t>__EDGERIGHT</t>
  </si>
  <si>
    <t>__EDGEBOTTOM</t>
  </si>
  <si>
    <t>__EDGELEFT</t>
  </si>
  <si>
    <t>__GROOVE_POS</t>
  </si>
  <si>
    <t>__MATERIAL_GRAIN</t>
  </si>
  <si>
    <t>__MATERIAL_MATERIAL_clone0</t>
  </si>
  <si>
    <t>__ITEM_CODE_MATERIAL_clone0</t>
  </si>
  <si>
    <t>__QUANTITY_MATERIAL_clone0</t>
  </si>
  <si>
    <t>__W_MATERIAL_clone0</t>
  </si>
  <si>
    <t>__H_MATERIAL_clone0</t>
  </si>
  <si>
    <t>__EDGETOP_MATERIAL_clone0</t>
  </si>
  <si>
    <t>__EDGERIGHT_MATERIAL_clone0</t>
  </si>
  <si>
    <t>__EDGEBOTTOM_MATERIAL_clone0</t>
  </si>
  <si>
    <t>__EDGELEFT_MATERIAL_clone0</t>
  </si>
  <si>
    <t>__GROOVE_POS_MATERIAL_clone0</t>
  </si>
  <si>
    <t>__MATERIAL_GRAIN_MATERIAL_clone0</t>
  </si>
  <si>
    <t>__MATERIAL_MATERIAL_clone1</t>
  </si>
  <si>
    <t>__ITEM_CODE_MATERIAL_clone1</t>
  </si>
  <si>
    <t>__QUANTITY_MATERIAL_clone1</t>
  </si>
  <si>
    <t>__W_MATERIAL_clone1</t>
  </si>
  <si>
    <t>__H_MATERIAL_clone1</t>
  </si>
  <si>
    <t>__EDGETOP_MATERIAL_clone1</t>
  </si>
  <si>
    <t>__EDGERIGHT_MATERIAL_clone1</t>
  </si>
  <si>
    <t>__EDGEBOTTOM_MATERIAL_clone1</t>
  </si>
  <si>
    <t>__EDGELEFT_MATERIAL_clone1</t>
  </si>
  <si>
    <t>__GROOVE_POS_MATERIAL_clone1</t>
  </si>
  <si>
    <t>__MATERIAL_GRAIN_MATERIAL_clone1</t>
  </si>
  <si>
    <t>__MATERIAL_MATERIAL_clone2</t>
  </si>
  <si>
    <t>__ITEM_CODE_MATERIAL_clone2</t>
  </si>
  <si>
    <t>__QUANTITY_MATERIAL_clone2</t>
  </si>
  <si>
    <t>__W_MATERIAL_clone2</t>
  </si>
  <si>
    <t>__H_MATERIAL_clone2</t>
  </si>
  <si>
    <t>__EDGETOP_MATERIAL_clone2</t>
  </si>
  <si>
    <t>__EDGERIGHT_MATERIAL_clone2</t>
  </si>
  <si>
    <t>__EDGEBOTTOM_MATERIAL_clone2</t>
  </si>
  <si>
    <t>__EDGELEFT_MATERIAL_clone2</t>
  </si>
  <si>
    <t>__GROOVE_POS_MATERIAL_clone2</t>
  </si>
  <si>
    <t>__MATERIAL_GRAIN_MATERIAL_clone2</t>
  </si>
  <si>
    <t>__MATERIAL_MATERIAL_clone3</t>
  </si>
  <si>
    <t>__ITEM_CODE_MATERIAL_clone3</t>
  </si>
  <si>
    <t>__QUANTITY_MATERIAL_clone3</t>
  </si>
  <si>
    <t>__W_MATERIAL_clone3</t>
  </si>
  <si>
    <t>__H_MATERIAL_clone3</t>
  </si>
  <si>
    <t>__EDGETOP_MATERIAL_clone3</t>
  </si>
  <si>
    <t>__EDGERIGHT_MATERIAL_clone3</t>
  </si>
  <si>
    <t>__EDGEBOTTOM_MATERIAL_clone3</t>
  </si>
  <si>
    <t>__EDGELEFT_MATERIAL_clone3</t>
  </si>
  <si>
    <t>__GROOVE_POS_MATERIAL_clone3</t>
  </si>
  <si>
    <t>__MATERIAL_GRAIN_MATERIAL_clone3</t>
  </si>
  <si>
    <t>__MATERIAL_MATERIAL_clone4</t>
  </si>
  <si>
    <t>__ITEM_CODE_MATERIAL_clone4</t>
  </si>
  <si>
    <t>__QUANTITY_MATERIAL_clone4</t>
  </si>
  <si>
    <t>__W_MATERIAL_clone4</t>
  </si>
  <si>
    <t>__H_MATERIAL_clone4</t>
  </si>
  <si>
    <t>__EDGETOP_MATERIAL_clone4</t>
  </si>
  <si>
    <t>__EDGERIGHT_MATERIAL_clone4</t>
  </si>
  <si>
    <t>__EDGEBOTTOM_MATERIAL_clone4</t>
  </si>
  <si>
    <t>__EDGELEFT_MATERIAL_clone4</t>
  </si>
  <si>
    <t>__GROOVE_POS_MATERIAL_clone4</t>
  </si>
  <si>
    <t>__MATERIAL_GRAIN_MATERIAL_clone4</t>
  </si>
  <si>
    <t>__MATERIAL_MATERIAL_clone5</t>
  </si>
  <si>
    <t>__ITEM_CODE_MATERIAL_clone5</t>
  </si>
  <si>
    <t>__QUANTITY_MATERIAL_clone5</t>
  </si>
  <si>
    <t>__W_MATERIAL_clone5</t>
  </si>
  <si>
    <t>__H_MATERIAL_clone5</t>
  </si>
  <si>
    <t>__EDGETOP_MATERIAL_clone5</t>
  </si>
  <si>
    <t>__EDGERIGHT_MATERIAL_clone5</t>
  </si>
  <si>
    <t>__EDGEBOTTOM_MATERIAL_clone5</t>
  </si>
  <si>
    <t>__EDGELEFT_MATERIAL_clone5</t>
  </si>
  <si>
    <t>__GROOVE_POS_MATERIAL_clone5</t>
  </si>
  <si>
    <t>__MATERIAL_GRAIN_MATERIAL_clone5</t>
  </si>
  <si>
    <t>__ITEM_QUANTITY</t>
  </si>
  <si>
    <t>M2</t>
  </si>
  <si>
    <t>Toplam M2 :</t>
  </si>
  <si>
    <t>388x183 :</t>
  </si>
  <si>
    <t>Tabaka</t>
  </si>
  <si>
    <t>__ITEM_QUANTITY_MATERIAL_clone0</t>
  </si>
  <si>
    <t>__CUSTOMER</t>
  </si>
  <si>
    <t>__ADDRESSLINE1</t>
  </si>
  <si>
    <t>__ADDRESSLINE2</t>
  </si>
  <si>
    <t>__TOWN</t>
  </si>
  <si>
    <t>__CITY</t>
  </si>
  <si>
    <t>__TEL</t>
  </si>
  <si>
    <t>__EMAIL</t>
  </si>
  <si>
    <t>__ITEM_QUANTITY_MATERIAL_clone1</t>
  </si>
  <si>
    <t>__ITEM_QUANTITY_MATERIAL_clone2</t>
  </si>
  <si>
    <t>__ITEM_QUANTITY_MATERIAL_clone3</t>
  </si>
  <si>
    <t>__ITEM_QUANTITY_MATERIAL_clone4</t>
  </si>
  <si>
    <t>__ITEM_QUANTITY_MATERIAL_clone5</t>
  </si>
  <si>
    <t>__MATERIAL_MATERIAL_clone6</t>
  </si>
  <si>
    <t>__ITEM_CODE_MATERIAL_clone6</t>
  </si>
  <si>
    <t>__QUANTITY_MATERIAL_clone6</t>
  </si>
  <si>
    <t>__ITEM_QUANTITY_MATERIAL_clone6</t>
  </si>
  <si>
    <t>__H_MATERIAL_clone6</t>
  </si>
  <si>
    <t>__W_MATERIAL_clone6</t>
  </si>
  <si>
    <t>__EDGETOP_MATERIAL_clone6</t>
  </si>
  <si>
    <t>__EDGERIGHT_MATERIAL_clone6</t>
  </si>
  <si>
    <t>__EDGEBOTTOM_MATERIAL_clone6</t>
  </si>
  <si>
    <t>__EDGELEFT_MATERIAL_clone6</t>
  </si>
  <si>
    <t>__GROOVE_POS_MATERIAL_clone6</t>
  </si>
  <si>
    <t>__MATERIAL_GRAIN_MATERIAL_clone6</t>
  </si>
  <si>
    <t>280x210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</si>
</sst>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\M\²"/>
    <numFmt numFmtId="165" formatCode="0.0000"/>
  </numFmts>
  <fonts count="4" x14ac:knownFonts="1">
    <font>
      <sz val="11"/>
      <color rgb="FF000000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color rgb="FFFF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</fills>
  <borders count="1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/>
    <xf numFmtId="0" fontId="0" fillId="0" borderId="3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Border="1"/>
    <xf numFmtId="0" fontId="2" fillId="2" borderId="9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2" fontId="3" fillId="0" borderId="0" xfId="0" applyNumberFormat="1" applyFont="1" applyBorder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413340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4000" y="1440"/>
          <a:ext cx="3219120" cy="9648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12</xdr:col>
      <xdr:colOff>350880</xdr:colOff>
      <xdr:row>5</xdr:row>
      <xdr:rowOff>90000</xdr:rowOff>
    </xdr:to>
    <xdr:pic>
      <xdr:nvPicPr>
        <xdr:cNvPr id="2" name="Resi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Normal="100" workbookViewId="0">
      <selection activeCell="D25" sqref="D25"/>
    </sheetView>
  </sheetViews>
  <sheetFormatPr defaultRowHeight="15" x14ac:dyDescent="0.25"/>
  <cols>
    <col min="1" max="1" width="4.28515625" customWidth="1"/>
    <col min="2" max="2" width="14.7109375" customWidth="1"/>
    <col min="3" max="3" width="23.5703125" customWidth="1"/>
    <col min="4" max="4" width="3.85546875"/>
    <col min="5" max="5" width="5.7109375" customWidth="1"/>
    <col min="6" max="7" width="5.5703125"/>
    <col min="8" max="8" width="6"/>
    <col min="9" max="9" width="6.5703125" bestFit="1" customWidth="1"/>
    <col min="10" max="11" width="6"/>
    <col min="12" max="13" width="6.7109375"/>
    <col min="14" max="1026" width="8.7109375"/>
  </cols>
  <sheetData>
    <row r="1" spans="1:17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7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7" x14ac:dyDescent="0.25">
      <c r="A3" s="17"/>
      <c r="B3" s="17"/>
      <c r="C3" s="3" t="s">
        <v>103</v>
      </c>
      <c r="D3" s="4"/>
      <c r="E3" s="3"/>
      <c r="F3" s="3"/>
      <c r="G3" s="3"/>
    </row>
    <row r="4" spans="1:17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7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7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7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7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7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  <c r="Q9" s="15"/>
    </row>
    <row r="10" spans="1:17" ht="13.9" customHeight="1" x14ac:dyDescent="0.25">
      <c r="A10" s="8"/>
      <c r="B10" s="20" t="s">
        <v>6</v>
      </c>
      <c r="C10" s="20" t="s">
        <v>7</v>
      </c>
      <c r="D10" s="20" t="s">
        <v>8</v>
      </c>
      <c r="E10" s="10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7" ht="13.5" customHeight="1" x14ac:dyDescent="0.25">
      <c r="A11" s="8"/>
      <c r="B11" s="20"/>
      <c r="C11" s="20"/>
      <c r="D11" s="20"/>
      <c r="E11" s="10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7" x14ac:dyDescent="0.25">
      <c r="B12" t="s">
        <v>18</v>
      </c>
      <c r="C12" t="s">
        <v>19</v>
      </c>
      <c r="D12" t="s">
        <v>20</v>
      </c>
      <c r="E12" t="s">
        <v>95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</row>
  </sheetData>
  <autoFilter ref="B11:M11"/>
  <mergeCells count="16">
    <mergeCell ref="M10:M11"/>
    <mergeCell ref="A6:B6"/>
    <mergeCell ref="A7:B7"/>
    <mergeCell ref="B10:B11"/>
    <mergeCell ref="C10:C11"/>
    <mergeCell ref="D10:D11"/>
    <mergeCell ref="I7:J7"/>
    <mergeCell ref="F10:F11"/>
    <mergeCell ref="G10:G11"/>
    <mergeCell ref="H10:K10"/>
    <mergeCell ref="L10:L11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29</v>
      </c>
      <c r="C12" t="s">
        <v>30</v>
      </c>
      <c r="D12" t="s">
        <v>31</v>
      </c>
      <c r="E12" t="s">
        <v>100</v>
      </c>
      <c r="F12" t="s">
        <v>33</v>
      </c>
      <c r="G12" t="s">
        <v>32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40</v>
      </c>
      <c r="C12" t="s">
        <v>41</v>
      </c>
      <c r="D12" t="s">
        <v>42</v>
      </c>
      <c r="E12" t="s">
        <v>108</v>
      </c>
      <c r="F12" t="s">
        <v>44</v>
      </c>
      <c r="G12" t="s">
        <v>43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51</v>
      </c>
      <c r="C12" t="s">
        <v>52</v>
      </c>
      <c r="D12" t="s">
        <v>53</v>
      </c>
      <c r="E12" t="s">
        <v>109</v>
      </c>
      <c r="F12" t="s">
        <v>55</v>
      </c>
      <c r="G12" t="s">
        <v>54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62</v>
      </c>
      <c r="C12" t="s">
        <v>63</v>
      </c>
      <c r="D12" t="s">
        <v>64</v>
      </c>
      <c r="E12" t="s">
        <v>110</v>
      </c>
      <c r="F12" t="s">
        <v>66</v>
      </c>
      <c r="G12" t="s">
        <v>65</v>
      </c>
      <c r="H12" t="s">
        <v>67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73</v>
      </c>
      <c r="C12" t="s">
        <v>74</v>
      </c>
      <c r="D12" t="s">
        <v>75</v>
      </c>
      <c r="E12" t="s">
        <v>111</v>
      </c>
      <c r="F12" t="s">
        <v>77</v>
      </c>
      <c r="G12" t="s">
        <v>76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84</v>
      </c>
      <c r="C12" t="s">
        <v>85</v>
      </c>
      <c r="D12" t="s">
        <v>86</v>
      </c>
      <c r="E12" t="s">
        <v>112</v>
      </c>
      <c r="F12" t="s">
        <v>88</v>
      </c>
      <c r="G12" t="s">
        <v>87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H10" sqref="H10:K1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8" width="6" customWidth="1"/>
    <col min="9" max="9" width="7.42578125" customWidth="1"/>
    <col min="10" max="13" width="6" customWidth="1"/>
  </cols>
  <sheetData>
    <row r="1" spans="1:13" x14ac:dyDescent="0.25">
      <c r="A1" s="16" t="s">
        <v>0</v>
      </c>
      <c r="B1" s="16"/>
      <c r="C1" s="1" t="s">
        <v>101</v>
      </c>
      <c r="D1" s="2"/>
      <c r="E1" s="3"/>
      <c r="F1" s="3"/>
      <c r="G1" s="3"/>
    </row>
    <row r="2" spans="1:13" x14ac:dyDescent="0.25">
      <c r="A2" s="17" t="s">
        <v>1</v>
      </c>
      <c r="B2" s="17"/>
      <c r="C2" s="3" t="s">
        <v>102</v>
      </c>
      <c r="D2" s="4"/>
      <c r="E2" s="3"/>
      <c r="F2" s="3"/>
      <c r="G2" s="3"/>
    </row>
    <row r="3" spans="1:13" x14ac:dyDescent="0.25">
      <c r="A3" s="17"/>
      <c r="B3" s="17"/>
      <c r="C3" s="3" t="s">
        <v>103</v>
      </c>
      <c r="D3" s="4"/>
      <c r="E3" s="3"/>
      <c r="F3" s="3"/>
      <c r="G3" s="3"/>
    </row>
    <row r="4" spans="1:13" x14ac:dyDescent="0.25">
      <c r="A4" s="17" t="s">
        <v>2</v>
      </c>
      <c r="B4" s="17"/>
      <c r="C4" s="3" t="s">
        <v>104</v>
      </c>
      <c r="D4" s="4"/>
      <c r="E4" s="3"/>
      <c r="F4" s="3"/>
      <c r="G4" s="3"/>
    </row>
    <row r="5" spans="1:13" x14ac:dyDescent="0.25">
      <c r="A5" s="17" t="s">
        <v>3</v>
      </c>
      <c r="B5" s="17"/>
      <c r="C5" s="3" t="s">
        <v>105</v>
      </c>
      <c r="D5" s="4"/>
      <c r="E5" s="3"/>
      <c r="F5" s="3"/>
      <c r="G5" s="3"/>
    </row>
    <row r="6" spans="1:13" x14ac:dyDescent="0.25">
      <c r="A6" s="17" t="s">
        <v>4</v>
      </c>
      <c r="B6" s="17"/>
      <c r="C6" s="3" t="s">
        <v>106</v>
      </c>
      <c r="D6" s="4"/>
      <c r="E6" s="3"/>
      <c r="F6" s="3"/>
      <c r="G6" s="3"/>
    </row>
    <row r="7" spans="1:13" x14ac:dyDescent="0.25">
      <c r="A7" s="19" t="s">
        <v>5</v>
      </c>
      <c r="B7" s="19"/>
      <c r="C7" s="5" t="s">
        <v>107</v>
      </c>
      <c r="D7" s="6"/>
      <c r="E7" s="3"/>
      <c r="F7" s="3"/>
      <c r="G7" s="3"/>
      <c r="H7" s="12" t="s">
        <v>97</v>
      </c>
      <c r="I7" s="21">
        <f>SUMPRODUCT(E12:E165,D12:D165)</f>
        <v>0</v>
      </c>
      <c r="J7" s="21"/>
    </row>
    <row r="8" spans="1:13" x14ac:dyDescent="0.25">
      <c r="B8" s="7"/>
      <c r="C8" s="7"/>
      <c r="D8" s="7"/>
      <c r="E8" s="7"/>
      <c r="F8" s="7"/>
      <c r="G8" s="7"/>
      <c r="H8" s="13" t="s">
        <v>98</v>
      </c>
      <c r="I8" s="14">
        <f>I7/(6.6978/1.1)</f>
        <v>0</v>
      </c>
      <c r="J8" t="s">
        <v>99</v>
      </c>
    </row>
    <row r="9" spans="1:13" x14ac:dyDescent="0.25">
      <c r="B9" s="7"/>
      <c r="C9" s="7"/>
      <c r="D9" s="7"/>
      <c r="E9" s="7"/>
      <c r="F9" s="7"/>
      <c r="G9" s="7"/>
      <c r="H9" s="13" t="s">
        <v>125</v>
      </c>
      <c r="I9" s="14">
        <f>I7/(5.88/1.1)</f>
        <v>0</v>
      </c>
      <c r="J9" t="s">
        <v>99</v>
      </c>
    </row>
    <row r="10" spans="1:13" ht="13.9" customHeight="1" x14ac:dyDescent="0.25">
      <c r="A10" s="8"/>
      <c r="B10" s="20" t="s">
        <v>6</v>
      </c>
      <c r="C10" s="20" t="s">
        <v>7</v>
      </c>
      <c r="D10" s="20" t="s">
        <v>8</v>
      </c>
      <c r="E10" s="11"/>
      <c r="F10" s="20" t="s">
        <v>9</v>
      </c>
      <c r="G10" s="20" t="s">
        <v>10</v>
      </c>
      <c r="H10" s="20" t="s">
        <v>11</v>
      </c>
      <c r="I10" s="20"/>
      <c r="J10" s="20"/>
      <c r="K10" s="20"/>
      <c r="L10" s="18" t="s">
        <v>12</v>
      </c>
      <c r="M10" s="18" t="s">
        <v>13</v>
      </c>
    </row>
    <row r="11" spans="1:13" ht="13.5" customHeight="1" x14ac:dyDescent="0.25">
      <c r="A11" s="8"/>
      <c r="B11" s="20"/>
      <c r="C11" s="20"/>
      <c r="D11" s="20"/>
      <c r="E11" s="11" t="s">
        <v>96</v>
      </c>
      <c r="F11" s="20"/>
      <c r="G11" s="20"/>
      <c r="H11" s="9" t="s">
        <v>14</v>
      </c>
      <c r="I11" s="9" t="s">
        <v>15</v>
      </c>
      <c r="J11" s="9" t="s">
        <v>16</v>
      </c>
      <c r="K11" s="9" t="s">
        <v>17</v>
      </c>
      <c r="L11" s="18"/>
      <c r="M11" s="18"/>
    </row>
    <row r="12" spans="1:13" x14ac:dyDescent="0.25"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</row>
  </sheetData>
  <autoFilter ref="B11:M11"/>
  <mergeCells count="16">
    <mergeCell ref="A6:B6"/>
    <mergeCell ref="I7:J7"/>
    <mergeCell ref="A1:B1"/>
    <mergeCell ref="A2:B2"/>
    <mergeCell ref="A3:B3"/>
    <mergeCell ref="A4:B4"/>
    <mergeCell ref="A5:B5"/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48</vt:i4>
      </vt:variant>
    </vt:vector>
  </HeadingPairs>
  <TitlesOfParts>
    <vt:vector size="56" baseType="lpstr">
      <vt:lpstr>Tum Malzemeler Listesi</vt:lpstr>
      <vt:lpstr>Malzeme 1</vt:lpstr>
      <vt:lpstr>Malzeme 2</vt:lpstr>
      <vt:lpstr>Malzeme 3</vt:lpstr>
      <vt:lpstr>Malzeme 4</vt:lpstr>
      <vt:lpstr>Malzeme 5</vt:lpstr>
      <vt:lpstr>Malzeme 6</vt:lpstr>
      <vt:lpstr>Malzeme 7</vt:lpstr>
      <vt:lpstr>'Malzeme 1'!_FilterDatabase_0</vt:lpstr>
      <vt:lpstr>'Malzeme 2'!_FilterDatabase_0</vt:lpstr>
      <vt:lpstr>'Malzeme 3'!_FilterDatabase_0</vt:lpstr>
      <vt:lpstr>'Malzeme 4'!_FilterDatabase_0</vt:lpstr>
      <vt:lpstr>'Malzeme 5'!_FilterDatabase_0</vt:lpstr>
      <vt:lpstr>'Malzeme 6'!_FilterDatabase_0</vt:lpstr>
      <vt:lpstr>'Malzeme 7'!_FilterDatabase_0</vt:lpstr>
      <vt:lpstr>'Tum Malzemeler Listesi'!_FilterDatabase_0</vt:lpstr>
      <vt:lpstr>'Malzeme 1'!_FilterDatabase_0_0</vt:lpstr>
      <vt:lpstr>'Malzeme 2'!_FilterDatabase_0_0</vt:lpstr>
      <vt:lpstr>'Malzeme 3'!_FilterDatabase_0_0</vt:lpstr>
      <vt:lpstr>'Malzeme 4'!_FilterDatabase_0_0</vt:lpstr>
      <vt:lpstr>'Malzeme 5'!_FilterDatabase_0_0</vt:lpstr>
      <vt:lpstr>'Malzeme 6'!_FilterDatabase_0_0</vt:lpstr>
      <vt:lpstr>'Malzeme 7'!_FilterDatabase_0_0</vt:lpstr>
      <vt:lpstr>'Tum Malzemeler Listesi'!_FilterDatabase_0_0</vt:lpstr>
      <vt:lpstr>'Malzeme 1'!_VeritabaniniFiltrele</vt:lpstr>
      <vt:lpstr>'Malzeme 2'!_VeritabaniniFiltrele</vt:lpstr>
      <vt:lpstr>'Malzeme 3'!_VeritabaniniFiltrele</vt:lpstr>
      <vt:lpstr>'Malzeme 4'!_VeritabaniniFiltrele</vt:lpstr>
      <vt:lpstr>'Malzeme 5'!_VeritabaniniFiltrele</vt:lpstr>
      <vt:lpstr>'Malzeme 6'!_VeritabaniniFiltrele</vt:lpstr>
      <vt:lpstr>'Malzeme 7'!_VeritabaniniFiltrele</vt:lpstr>
      <vt:lpstr>'Tum Malzemeler Listesi'!_VeritabaniniFiltrele</vt:lpstr>
      <vt:lpstr>'Malzeme 1'!Print_Titles_0</vt:lpstr>
      <vt:lpstr>'Malzeme 2'!Print_Titles_0</vt:lpstr>
      <vt:lpstr>'Malzeme 3'!Print_Titles_0</vt:lpstr>
      <vt:lpstr>'Malzeme 4'!Print_Titles_0</vt:lpstr>
      <vt:lpstr>'Malzeme 5'!Print_Titles_0</vt:lpstr>
      <vt:lpstr>'Malzeme 6'!Print_Titles_0</vt:lpstr>
      <vt:lpstr>'Malzeme 7'!Print_Titles_0</vt:lpstr>
      <vt:lpstr>'Tum Malzemeler Listesi'!Print_Titles_0</vt:lpstr>
      <vt:lpstr>'Malzeme 1'!Print_Titles_0_0</vt:lpstr>
      <vt:lpstr>'Malzeme 2'!Print_Titles_0_0</vt:lpstr>
      <vt:lpstr>'Malzeme 3'!Print_Titles_0_0</vt:lpstr>
      <vt:lpstr>'Malzeme 4'!Print_Titles_0_0</vt:lpstr>
      <vt:lpstr>'Malzeme 5'!Print_Titles_0_0</vt:lpstr>
      <vt:lpstr>'Malzeme 6'!Print_Titles_0_0</vt:lpstr>
      <vt:lpstr>'Malzeme 7'!Print_Titles_0_0</vt:lpstr>
      <vt:lpstr>'Tum Malzemeler Listesi'!Print_Titles_0_0</vt:lpstr>
      <vt:lpstr>'Malzeme 1'!Yazdırma_Başlıkları</vt:lpstr>
      <vt:lpstr>'Malzeme 2'!Yazdırma_Başlıkları</vt:lpstr>
      <vt:lpstr>'Malzeme 3'!Yazdırma_Başlıkları</vt:lpstr>
      <vt:lpstr>'Malzeme 4'!Yazdırma_Başlıkları</vt:lpstr>
      <vt:lpstr>'Malzeme 5'!Yazdırma_Başlıkları</vt:lpstr>
      <vt:lpstr>'Malzeme 6'!Yazdırma_Başlıkları</vt:lpstr>
      <vt:lpstr>'Malzeme 7'!Yazdırma_Başlıkları</vt:lpstr>
      <vt:lpstr>'Tum Malzemeler Listesi'!Yazdırma_Başlıkları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cp:revision>0</cp:revision>
  <cp:lastPrinted>2016-09-08T13:30:01Z</cp:lastPrinted>
  <dcterms:created xsi:type="dcterms:W3CDTF">2015-01-07T11:11:01Z</dcterms:created>
  <dcterms:modified xsi:type="dcterms:W3CDTF">2016-09-08T13:41:56Z</dcterms:modified>
  <dc:language>tr-TR</dc:language>
</cp:coreProperties>
</file>